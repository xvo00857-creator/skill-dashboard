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清洗后数据" sheetId="2" state="visible" r:id="rId2"/>
    <sheet name="月度趋势" sheetId="3" state="visible" r:id="rId3"/>
    <sheet name="地区构成" sheetId="4" state="visible" r:id="rId4"/>
    <sheet name="数据质量清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%"/>
  </numFmts>
  <fonts count="3">
    <font>
      <name val="Calibri"/>
      <family val="2"/>
      <color theme="1"/>
      <sz val="11"/>
      <scheme val="minor"/>
    </font>
    <font>
      <name val="微软雅黑"/>
      <b val="1"/>
    </font>
    <font>
      <name val="微软雅黑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bottom style="medium">
        <color rgb="00404040"/>
      </bottom>
    </border>
    <border>
      <top style="thin">
        <color rgb="0040404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165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right" vertical="center"/>
    </xf>
    <xf numFmtId="0" fontId="1" fillId="0" borderId="2" applyAlignment="1" pivotButton="0" quotePrefix="0" xfId="0">
      <alignment horizontal="center" vertical="center"/>
    </xf>
    <xf numFmtId="3" fontId="1" fillId="0" borderId="2" applyAlignment="1" pivotButton="0" quotePrefix="0" xfId="0">
      <alignment horizontal="right" vertical="center"/>
    </xf>
    <xf numFmtId="166" fontId="2" fillId="0" borderId="0" applyAlignment="1" pivotButton="0" quotePrefix="0" xfId="0">
      <alignment horizontal="right" vertical="center"/>
    </xf>
    <xf numFmtId="166" fontId="1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订单日期</t>
        </is>
      </c>
      <c r="B1" s="1" t="inlineStr">
        <is>
          <t>地区</t>
        </is>
      </c>
      <c r="C1" s="1" t="inlineStr">
        <is>
          <t>产品</t>
        </is>
      </c>
      <c r="D1" s="1" t="inlineStr">
        <is>
          <t>数量</t>
        </is>
      </c>
      <c r="E1" s="1" t="inlineStr">
        <is>
          <t>销售额</t>
        </is>
      </c>
    </row>
    <row r="2">
      <c r="A2" s="2" t="inlineStr">
        <is>
          <t>2026/6/2</t>
        </is>
      </c>
      <c r="B2" s="2" t="inlineStr">
        <is>
          <t>华 东</t>
        </is>
      </c>
      <c r="C2" s="2" t="inlineStr">
        <is>
          <t>基础版</t>
        </is>
      </c>
      <c r="D2" s="3" t="inlineStr">
        <is>
          <t>12</t>
        </is>
      </c>
      <c r="E2" s="3" t="inlineStr">
        <is>
          <t>2388</t>
        </is>
      </c>
    </row>
    <row r="3">
      <c r="A3" s="2" t="inlineStr">
        <is>
          <t>2026-06-15</t>
        </is>
      </c>
      <c r="B3" s="2" t="inlineStr">
        <is>
          <t>华东</t>
        </is>
      </c>
      <c r="C3" s="2" t="inlineStr">
        <is>
          <t>专业版</t>
        </is>
      </c>
      <c r="D3" s="3" t="inlineStr">
        <is>
          <t>5</t>
        </is>
      </c>
      <c r="E3" s="3" t="inlineStr">
        <is>
          <t>2495</t>
        </is>
      </c>
    </row>
    <row r="4">
      <c r="A4" s="2" t="inlineStr">
        <is>
          <t>2026.07.03</t>
        </is>
      </c>
      <c r="B4" s="2" t="inlineStr">
        <is>
          <t>华南地区</t>
        </is>
      </c>
      <c r="C4" s="2" t="inlineStr">
        <is>
          <t>基础版</t>
        </is>
      </c>
      <c r="D4" s="3" t="inlineStr">
        <is>
          <t>18</t>
        </is>
      </c>
      <c r="E4" s="3" t="inlineStr">
        <is>
          <t>3582</t>
        </is>
      </c>
    </row>
    <row r="5">
      <c r="A5" s="2" t="inlineStr">
        <is>
          <t>2026-07-21</t>
        </is>
      </c>
      <c r="B5" s="2" t="inlineStr">
        <is>
          <t>华南</t>
        </is>
      </c>
      <c r="C5" s="2" t="inlineStr">
        <is>
          <t>专业版</t>
        </is>
      </c>
      <c r="D5" s="3" t="inlineStr">
        <is>
          <t>7</t>
        </is>
      </c>
      <c r="E5" s="3" t="inlineStr">
        <is>
          <t>3493</t>
        </is>
      </c>
    </row>
    <row r="6">
      <c r="A6" s="2" t="inlineStr">
        <is>
          <t>2026/08/01</t>
        </is>
      </c>
      <c r="B6" s="2" t="inlineStr">
        <is>
          <t>华北</t>
        </is>
      </c>
      <c r="C6" s="2" t="inlineStr">
        <is>
          <t>基础版</t>
        </is>
      </c>
      <c r="D6" s="3" t="inlineStr">
        <is>
          <t>9</t>
        </is>
      </c>
      <c r="E6" s="3" t="inlineStr">
        <is>
          <t>1791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订单日期</t>
        </is>
      </c>
      <c r="B1" s="1" t="inlineStr">
        <is>
          <t>地区</t>
        </is>
      </c>
      <c r="C1" s="1" t="inlineStr">
        <is>
          <t>产品</t>
        </is>
      </c>
      <c r="D1" s="1" t="inlineStr">
        <is>
          <t>数量</t>
        </is>
      </c>
      <c r="E1" s="1" t="inlineStr">
        <is>
          <t>销售额</t>
        </is>
      </c>
      <c r="F1" s="1" t="inlineStr">
        <is>
          <t>月份</t>
        </is>
      </c>
    </row>
    <row r="2">
      <c r="A2" s="4" t="n">
        <v>46175</v>
      </c>
      <c r="B2" s="5" t="inlineStr">
        <is>
          <t>华东</t>
        </is>
      </c>
      <c r="C2" s="5" t="inlineStr">
        <is>
          <t>基础版</t>
        </is>
      </c>
      <c r="D2" s="6" t="n">
        <v>12</v>
      </c>
      <c r="E2" s="6" t="n">
        <v>2388</v>
      </c>
      <c r="F2" s="5">
        <f>TEXT(A2,"YYYY-MM")</f>
        <v/>
      </c>
    </row>
    <row r="3">
      <c r="A3" s="4" t="n">
        <v>46188</v>
      </c>
      <c r="B3" s="5" t="inlineStr">
        <is>
          <t>华东</t>
        </is>
      </c>
      <c r="C3" s="5" t="inlineStr">
        <is>
          <t>专业版</t>
        </is>
      </c>
      <c r="D3" s="6" t="n">
        <v>5</v>
      </c>
      <c r="E3" s="6" t="n">
        <v>2495</v>
      </c>
      <c r="F3" s="5">
        <f>TEXT(A3,"YYYY-MM")</f>
        <v/>
      </c>
    </row>
    <row r="4">
      <c r="A4" s="4" t="n">
        <v>46206</v>
      </c>
      <c r="B4" s="5" t="inlineStr">
        <is>
          <t>华南</t>
        </is>
      </c>
      <c r="C4" s="5" t="inlineStr">
        <is>
          <t>基础版</t>
        </is>
      </c>
      <c r="D4" s="6" t="n">
        <v>18</v>
      </c>
      <c r="E4" s="6" t="n">
        <v>3582</v>
      </c>
      <c r="F4" s="5">
        <f>TEXT(A4,"YYYY-MM")</f>
        <v/>
      </c>
    </row>
    <row r="5">
      <c r="A5" s="4" t="n">
        <v>46224</v>
      </c>
      <c r="B5" s="5" t="inlineStr">
        <is>
          <t>华南</t>
        </is>
      </c>
      <c r="C5" s="5" t="inlineStr">
        <is>
          <t>专业版</t>
        </is>
      </c>
      <c r="D5" s="6" t="n">
        <v>7</v>
      </c>
      <c r="E5" s="6" t="n">
        <v>3493</v>
      </c>
      <c r="F5" s="5">
        <f>TEXT(A5,"YYYY-MM")</f>
        <v/>
      </c>
    </row>
    <row r="6">
      <c r="A6" s="4" t="n">
        <v>46235</v>
      </c>
      <c r="B6" s="5" t="inlineStr">
        <is>
          <t>华北</t>
        </is>
      </c>
      <c r="C6" s="5" t="inlineStr">
        <is>
          <t>基础版</t>
        </is>
      </c>
      <c r="D6" s="6" t="n">
        <v>9</v>
      </c>
      <c r="E6" s="6" t="n">
        <v>1791</v>
      </c>
      <c r="F6" s="5">
        <f>TEXT(A6,"YYYY-MM")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1" customWidth="1" min="1" max="1"/>
    <col width="31" customWidth="1" min="2" max="2"/>
    <col width="44" customWidth="1" min="3" max="3"/>
    <col width="44" customWidth="1" min="4" max="4"/>
  </cols>
  <sheetData>
    <row r="1">
      <c r="A1" s="1" t="inlineStr">
        <is>
          <t>月份</t>
        </is>
      </c>
      <c r="B1" s="1" t="inlineStr">
        <is>
          <t>订单数</t>
        </is>
      </c>
      <c r="C1" s="1" t="inlineStr">
        <is>
          <t>销售数量</t>
        </is>
      </c>
      <c r="D1" s="1" t="inlineStr">
        <is>
          <t>销售额</t>
        </is>
      </c>
    </row>
    <row r="2">
      <c r="A2" s="5" t="inlineStr">
        <is>
          <t>2026-06</t>
        </is>
      </c>
      <c r="B2" s="6">
        <f>COUNTIF(清洗后数据!F:F,A2)</f>
        <v/>
      </c>
      <c r="C2" s="6">
        <f>SUMIF(清洗后数据!F:F,A2,清洗后数据!D:D)</f>
        <v/>
      </c>
      <c r="D2" s="6">
        <f>SUMIF(清洗后数据!F:F,A2,清洗后数据!E:E)</f>
        <v/>
      </c>
    </row>
    <row r="3">
      <c r="A3" s="5" t="inlineStr">
        <is>
          <t>2026-07</t>
        </is>
      </c>
      <c r="B3" s="6">
        <f>COUNTIF(清洗后数据!F:F,A3)</f>
        <v/>
      </c>
      <c r="C3" s="6">
        <f>SUMIF(清洗后数据!F:F,A3,清洗后数据!D:D)</f>
        <v/>
      </c>
      <c r="D3" s="6">
        <f>SUMIF(清洗后数据!F:F,A3,清洗后数据!E:E)</f>
        <v/>
      </c>
    </row>
    <row r="4">
      <c r="A4" s="5" t="inlineStr">
        <is>
          <t>2026-08</t>
        </is>
      </c>
      <c r="B4" s="6">
        <f>COUNTIF(清洗后数据!F:F,A4)</f>
        <v/>
      </c>
      <c r="C4" s="6">
        <f>SUMIF(清洗后数据!F:F,A4,清洗后数据!D:D)</f>
        <v/>
      </c>
      <c r="D4" s="6">
        <f>SUMIF(清洗后数据!F:F,A4,清洗后数据!E:E)</f>
        <v/>
      </c>
    </row>
    <row r="5">
      <c r="A5" s="7" t="inlineStr">
        <is>
          <t>合计</t>
        </is>
      </c>
      <c r="B5" s="8">
        <f>SUM(B2:B4)</f>
        <v/>
      </c>
      <c r="C5" s="8">
        <f>SUM(C2:C4)</f>
        <v/>
      </c>
      <c r="D5" s="8">
        <f>SUM(D2:D4)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44" customWidth="1" min="3" max="3"/>
    <col width="44" customWidth="1" min="4" max="4"/>
    <col width="15" customWidth="1" min="5" max="5"/>
  </cols>
  <sheetData>
    <row r="1">
      <c r="A1" s="1" t="inlineStr">
        <is>
          <t>地区</t>
        </is>
      </c>
      <c r="B1" s="1" t="inlineStr">
        <is>
          <t>订单数</t>
        </is>
      </c>
      <c r="C1" s="1" t="inlineStr">
        <is>
          <t>销售数量</t>
        </is>
      </c>
      <c r="D1" s="1" t="inlineStr">
        <is>
          <t>销售额</t>
        </is>
      </c>
      <c r="E1" s="1" t="inlineStr">
        <is>
          <t>销售额占比</t>
        </is>
      </c>
    </row>
    <row r="2">
      <c r="A2" s="5" t="inlineStr">
        <is>
          <t>华东</t>
        </is>
      </c>
      <c r="B2" s="6">
        <f>COUNTIF(清洗后数据!B:B,A2)</f>
        <v/>
      </c>
      <c r="C2" s="6">
        <f>SUMIF(清洗后数据!B:B,A2,清洗后数据!D:D)</f>
        <v/>
      </c>
      <c r="D2" s="6">
        <f>SUMIF(清洗后数据!B:B,A2,清洗后数据!E:E)</f>
        <v/>
      </c>
      <c r="E2" s="9">
        <f>D2/$D$5</f>
        <v/>
      </c>
    </row>
    <row r="3">
      <c r="A3" s="5" t="inlineStr">
        <is>
          <t>华南</t>
        </is>
      </c>
      <c r="B3" s="6">
        <f>COUNTIF(清洗后数据!B:B,A3)</f>
        <v/>
      </c>
      <c r="C3" s="6">
        <f>SUMIF(清洗后数据!B:B,A3,清洗后数据!D:D)</f>
        <v/>
      </c>
      <c r="D3" s="6">
        <f>SUMIF(清洗后数据!B:B,A3,清洗后数据!E:E)</f>
        <v/>
      </c>
      <c r="E3" s="9">
        <f>D3/$D$5</f>
        <v/>
      </c>
    </row>
    <row r="4">
      <c r="A4" s="5" t="inlineStr">
        <is>
          <t>华北</t>
        </is>
      </c>
      <c r="B4" s="6">
        <f>COUNTIF(清洗后数据!B:B,A4)</f>
        <v/>
      </c>
      <c r="C4" s="6">
        <f>SUMIF(清洗后数据!B:B,A4,清洗后数据!D:D)</f>
        <v/>
      </c>
      <c r="D4" s="6">
        <f>SUMIF(清洗后数据!B:B,A4,清洗后数据!E:E)</f>
        <v/>
      </c>
      <c r="E4" s="9">
        <f>D4/$D$5</f>
        <v/>
      </c>
    </row>
    <row r="5">
      <c r="A5" s="7" t="inlineStr">
        <is>
          <t>合计</t>
        </is>
      </c>
      <c r="B5" s="8">
        <f>SUM(B2:B4)</f>
        <v/>
      </c>
      <c r="C5" s="8">
        <f>SUM(C2:C4)</f>
        <v/>
      </c>
      <c r="D5" s="8">
        <f>SUM(D2:D4)</f>
        <v/>
      </c>
      <c r="E5" s="10">
        <f>SUM(E2:E4)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14" customWidth="1" min="4" max="4"/>
    <col width="14" customWidth="1" min="5" max="5"/>
    <col width="43" customWidth="1" min="6" max="6"/>
  </cols>
  <sheetData>
    <row r="1">
      <c r="A1" s="1" t="inlineStr">
        <is>
          <t>序号</t>
        </is>
      </c>
      <c r="B1" s="1" t="inlineStr">
        <is>
          <t>问题类型</t>
        </is>
      </c>
      <c r="C1" s="1" t="inlineStr">
        <is>
          <t>问题位置</t>
        </is>
      </c>
      <c r="D1" s="1" t="inlineStr">
        <is>
          <t>原始值</t>
        </is>
      </c>
      <c r="E1" s="1" t="inlineStr">
        <is>
          <t>清洗后值</t>
        </is>
      </c>
      <c r="F1" s="1" t="inlineStr">
        <is>
          <t>处理方式/状态</t>
        </is>
      </c>
    </row>
    <row r="2">
      <c r="A2" s="5" t="n">
        <v>1</v>
      </c>
      <c r="B2" s="5" t="inlineStr">
        <is>
          <t>日期格式不一致</t>
        </is>
      </c>
      <c r="C2" s="2" t="inlineStr">
        <is>
          <t>原始数据!A2</t>
        </is>
      </c>
      <c r="D2" s="2" t="inlineStr">
        <is>
          <t>2026/6/2</t>
        </is>
      </c>
      <c r="E2" s="2" t="inlineStr">
        <is>
          <t>2026-06-02</t>
        </is>
      </c>
      <c r="F2" s="2" t="inlineStr">
        <is>
          <t>统一为 YYYY-MM-DD（datetime 类型）</t>
        </is>
      </c>
    </row>
    <row r="3">
      <c r="A3" s="5" t="n">
        <v>2</v>
      </c>
      <c r="B3" s="5" t="inlineStr">
        <is>
          <t>地区写法不一致</t>
        </is>
      </c>
      <c r="C3" s="2" t="inlineStr">
        <is>
          <t>原始数据!B2</t>
        </is>
      </c>
      <c r="D3" s="2" t="inlineStr">
        <is>
          <t>华 东</t>
        </is>
      </c>
      <c r="E3" s="2" t="inlineStr">
        <is>
          <t>华东</t>
        </is>
      </c>
      <c r="F3" s="2" t="inlineStr">
        <is>
          <t>去除内部空格/“地区”后缀，统一为大区名</t>
        </is>
      </c>
    </row>
    <row r="4">
      <c r="A4" s="5" t="n">
        <v>3</v>
      </c>
      <c r="B4" s="5" t="inlineStr">
        <is>
          <t>日期格式不一致</t>
        </is>
      </c>
      <c r="C4" s="2" t="inlineStr">
        <is>
          <t>原始数据!A4</t>
        </is>
      </c>
      <c r="D4" s="2" t="inlineStr">
        <is>
          <t>2026.07.03</t>
        </is>
      </c>
      <c r="E4" s="2" t="inlineStr">
        <is>
          <t>2026-07-03</t>
        </is>
      </c>
      <c r="F4" s="2" t="inlineStr">
        <is>
          <t>统一为 YYYY-MM-DD（datetime 类型）</t>
        </is>
      </c>
    </row>
    <row r="5">
      <c r="A5" s="5" t="n">
        <v>4</v>
      </c>
      <c r="B5" s="5" t="inlineStr">
        <is>
          <t>地区写法不一致</t>
        </is>
      </c>
      <c r="C5" s="2" t="inlineStr">
        <is>
          <t>原始数据!B4</t>
        </is>
      </c>
      <c r="D5" s="2" t="inlineStr">
        <is>
          <t>华南地区</t>
        </is>
      </c>
      <c r="E5" s="2" t="inlineStr">
        <is>
          <t>华南</t>
        </is>
      </c>
      <c r="F5" s="2" t="inlineStr">
        <is>
          <t>去除内部空格/“地区”后缀，统一为大区名</t>
        </is>
      </c>
    </row>
    <row r="6">
      <c r="A6" s="5" t="n">
        <v>5</v>
      </c>
      <c r="B6" s="5" t="inlineStr">
        <is>
          <t>日期格式不一致</t>
        </is>
      </c>
      <c r="C6" s="2" t="inlineStr">
        <is>
          <t>原始数据!A6</t>
        </is>
      </c>
      <c r="D6" s="2" t="inlineStr">
        <is>
          <t>2026/08/01</t>
        </is>
      </c>
      <c r="E6" s="2" t="inlineStr">
        <is>
          <t>2026-08-01</t>
        </is>
      </c>
      <c r="F6" s="2" t="inlineStr">
        <is>
          <t>统一为 YYYY-MM-DD（datetime 类型）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2026-08-13T14:35:58Z</dcterms:created>
  <dcterms:modified xsi:type="dcterms:W3CDTF">2026-08-13T14:35:58Z</dcterms:modified>
</cp:coreProperties>
</file>