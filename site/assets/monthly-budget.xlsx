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度预算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<sst xmlns="http://schemas.openxmlformats.org/spreadsheetml/2006/main" count="95" uniqueCount="70">
  <si>
    <t xml:space="preserve">个人月度预算表</t>
  </si>
  <si>
    <t xml:space="preserve">Personal Monthly Budget Template</t>
  </si>
  <si>
    <t xml:space="preserve">预算月份：</t>
  </si>
  <si>
    <r>
      <rPr>
        <sz val="11"/>
        <color rgb="FF0000FF"/>
        <rFont val="Arial"/>
        <family val="0"/>
        <charset val="1"/>
      </rPr>
      <t xml:space="preserve">2026</t>
    </r>
    <r>
      <rPr>
        <sz val="11"/>
        <color rgb="FF0000FF"/>
        <rFont val="Noto Sans CJK SC"/>
        <family val="2"/>
      </rPr>
      <t xml:space="preserve">年</t>
    </r>
    <r>
      <rPr>
        <sz val="11"/>
        <color rgb="FF0000FF"/>
        <rFont val="Arial"/>
        <family val="0"/>
        <charset val="1"/>
      </rPr>
      <t xml:space="preserve">8</t>
    </r>
    <r>
      <rPr>
        <sz val="11"/>
        <color rgb="FF0000FF"/>
        <rFont val="Noto Sans CJK SC"/>
        <family val="2"/>
      </rPr>
      <t xml:space="preserve">月</t>
    </r>
  </si>
  <si>
    <r>
      <rPr>
        <b val="true"/>
        <sz val="12"/>
        <color rgb="FFFFFFFF"/>
        <rFont val="Noto Sans CJK SC"/>
        <family val="2"/>
      </rPr>
      <t xml:space="preserve">一、收入 </t>
    </r>
    <r>
      <rPr>
        <b val="true"/>
        <sz val="12"/>
        <color rgb="FFFFFFFF"/>
        <rFont val="Arial"/>
        <family val="0"/>
        <charset val="1"/>
      </rPr>
      <t xml:space="preserve">Income</t>
    </r>
  </si>
  <si>
    <t xml:space="preserve">项目</t>
  </si>
  <si>
    <t xml:space="preserve">预算金额</t>
  </si>
  <si>
    <t xml:space="preserve">实际金额</t>
  </si>
  <si>
    <t xml:space="preserve">备注</t>
  </si>
  <si>
    <r>
      <rPr>
        <sz val="11"/>
        <rFont val="Noto Sans CJK SC"/>
        <family val="2"/>
      </rPr>
      <t xml:space="preserve">工资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薪金</t>
    </r>
  </si>
  <si>
    <t xml:space="preserve">示例数据：税后月收入</t>
  </si>
  <si>
    <r>
      <rPr>
        <sz val="11"/>
        <rFont val="Noto Sans CJK SC"/>
        <family val="2"/>
      </rPr>
      <t xml:space="preserve">副业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兼职收入</t>
    </r>
  </si>
  <si>
    <t xml:space="preserve">示例数据：自由职业收入</t>
  </si>
  <si>
    <t xml:space="preserve">投资收益</t>
  </si>
  <si>
    <r>
      <rPr>
        <i val="true"/>
        <sz val="10"/>
        <rFont val="Noto Sans CJK SC"/>
        <family val="2"/>
      </rPr>
      <t xml:space="preserve">示例数据：股息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利息</t>
    </r>
  </si>
  <si>
    <t xml:space="preserve">其他收入</t>
  </si>
  <si>
    <r>
      <rPr>
        <b val="true"/>
        <sz val="11"/>
        <color rgb="FF000000"/>
        <rFont val="Noto Sans CJK SC"/>
        <family val="2"/>
      </rPr>
      <t xml:space="preserve">收入合计 </t>
    </r>
    <r>
      <rPr>
        <b val="true"/>
        <sz val="11"/>
        <color rgb="FF000000"/>
        <rFont val="Arial"/>
        <family val="0"/>
        <charset val="1"/>
      </rPr>
      <t xml:space="preserve">Total Income</t>
    </r>
  </si>
  <si>
    <r>
      <rPr>
        <b val="true"/>
        <sz val="12"/>
        <color rgb="FFFFFFFF"/>
        <rFont val="Noto Sans CJK SC"/>
        <family val="2"/>
      </rPr>
      <t xml:space="preserve">二、固定支出 </t>
    </r>
    <r>
      <rPr>
        <b val="true"/>
        <sz val="12"/>
        <color rgb="FFFFFFFF"/>
        <rFont val="Arial"/>
        <family val="0"/>
        <charset val="1"/>
      </rPr>
      <t xml:space="preserve">Fixed Expenses</t>
    </r>
  </si>
  <si>
    <r>
      <rPr>
        <sz val="11"/>
        <rFont val="Noto Sans CJK SC"/>
        <family val="2"/>
      </rPr>
      <t xml:space="preserve">房租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房贷</t>
    </r>
  </si>
  <si>
    <t xml:space="preserve">示例数据</t>
  </si>
  <si>
    <t xml:space="preserve">水电燃气费</t>
  </si>
  <si>
    <t xml:space="preserve">物业费</t>
  </si>
  <si>
    <r>
      <rPr>
        <sz val="11"/>
        <rFont val="Noto Sans CJK SC"/>
        <family val="2"/>
      </rPr>
      <t xml:space="preserve">网络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手机费</t>
    </r>
  </si>
  <si>
    <t xml:space="preserve">保险费</t>
  </si>
  <si>
    <r>
      <rPr>
        <i val="true"/>
        <sz val="10"/>
        <rFont val="Noto Sans CJK SC"/>
        <family val="2"/>
      </rPr>
      <t xml:space="preserve">示例数据：社保</t>
    </r>
    <r>
      <rPr>
        <i val="true"/>
        <sz val="10"/>
        <rFont val="Arial"/>
        <family val="0"/>
        <charset val="1"/>
      </rPr>
      <t xml:space="preserve">+</t>
    </r>
    <r>
      <rPr>
        <i val="true"/>
        <sz val="10"/>
        <rFont val="Noto Sans CJK SC"/>
        <family val="2"/>
      </rPr>
      <t xml:space="preserve">商保</t>
    </r>
  </si>
  <si>
    <r>
      <rPr>
        <sz val="11"/>
        <rFont val="Noto Sans CJK SC"/>
        <family val="2"/>
      </rPr>
      <t xml:space="preserve">车贷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其他贷款</t>
    </r>
  </si>
  <si>
    <t xml:space="preserve">订阅服务</t>
  </si>
  <si>
    <r>
      <rPr>
        <i val="true"/>
        <sz val="10"/>
        <rFont val="Noto Sans CJK SC"/>
        <family val="2"/>
      </rPr>
      <t xml:space="preserve">示例数据：视频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音乐会员</t>
    </r>
  </si>
  <si>
    <r>
      <rPr>
        <b val="true"/>
        <sz val="11"/>
        <color rgb="FF000000"/>
        <rFont val="Noto Sans CJK SC"/>
        <family val="2"/>
      </rPr>
      <t xml:space="preserve">固定支出合计 </t>
    </r>
    <r>
      <rPr>
        <b val="true"/>
        <sz val="11"/>
        <color rgb="FF000000"/>
        <rFont val="Arial"/>
        <family val="0"/>
        <charset val="1"/>
      </rPr>
      <t xml:space="preserve">Total Fixed</t>
    </r>
  </si>
  <si>
    <r>
      <rPr>
        <b val="true"/>
        <sz val="12"/>
        <color rgb="FFFFFFFF"/>
        <rFont val="Noto Sans CJK SC"/>
        <family val="2"/>
      </rPr>
      <t xml:space="preserve">三、日常消费 </t>
    </r>
    <r>
      <rPr>
        <b val="true"/>
        <sz val="12"/>
        <color rgb="FFFFFFFF"/>
        <rFont val="Arial"/>
        <family val="0"/>
        <charset val="1"/>
      </rPr>
      <t xml:space="preserve">Daily Expenses</t>
    </r>
  </si>
  <si>
    <r>
      <rPr>
        <sz val="11"/>
        <rFont val="Noto Sans CJK SC"/>
        <family val="2"/>
      </rPr>
      <t xml:space="preserve">餐饮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外卖</t>
    </r>
  </si>
  <si>
    <t xml:space="preserve">交通出行</t>
  </si>
  <si>
    <r>
      <rPr>
        <i val="true"/>
        <sz val="10"/>
        <rFont val="Noto Sans CJK SC"/>
        <family val="2"/>
      </rPr>
      <t xml:space="preserve">示例数据：地铁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打车</t>
    </r>
  </si>
  <si>
    <r>
      <rPr>
        <sz val="11"/>
        <rFont val="Noto Sans CJK SC"/>
        <family val="2"/>
      </rPr>
      <t xml:space="preserve">日用品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杂货</t>
    </r>
  </si>
  <si>
    <r>
      <rPr>
        <sz val="11"/>
        <rFont val="Noto Sans CJK SC"/>
        <family val="2"/>
      </rPr>
      <t xml:space="preserve">服饰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美容</t>
    </r>
  </si>
  <si>
    <r>
      <rPr>
        <sz val="11"/>
        <rFont val="Noto Sans CJK SC"/>
        <family val="2"/>
      </rPr>
      <t xml:space="preserve">娱乐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休闲</t>
    </r>
  </si>
  <si>
    <r>
      <rPr>
        <i val="true"/>
        <sz val="10"/>
        <rFont val="Noto Sans CJK SC"/>
        <family val="2"/>
      </rPr>
      <t xml:space="preserve">示例数据：电影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聚会</t>
    </r>
  </si>
  <si>
    <r>
      <rPr>
        <sz val="11"/>
        <rFont val="Noto Sans CJK SC"/>
        <family val="2"/>
      </rPr>
      <t xml:space="preserve">医疗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健康</t>
    </r>
  </si>
  <si>
    <r>
      <rPr>
        <sz val="11"/>
        <rFont val="Noto Sans CJK SC"/>
        <family val="2"/>
      </rPr>
      <t xml:space="preserve">学习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教育</t>
    </r>
  </si>
  <si>
    <r>
      <rPr>
        <i val="true"/>
        <sz val="10"/>
        <rFont val="Noto Sans CJK SC"/>
        <family val="2"/>
      </rPr>
      <t xml:space="preserve">示例数据：书籍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课程</t>
    </r>
  </si>
  <si>
    <t xml:space="preserve">其他日常支出</t>
  </si>
  <si>
    <r>
      <rPr>
        <b val="true"/>
        <sz val="11"/>
        <color rgb="FF000000"/>
        <rFont val="Noto Sans CJK SC"/>
        <family val="2"/>
      </rPr>
      <t xml:space="preserve">日常消费合计 </t>
    </r>
    <r>
      <rPr>
        <b val="true"/>
        <sz val="11"/>
        <color rgb="FF000000"/>
        <rFont val="Arial"/>
        <family val="0"/>
        <charset val="1"/>
      </rPr>
      <t xml:space="preserve">Total Daily</t>
    </r>
  </si>
  <si>
    <r>
      <rPr>
        <b val="true"/>
        <sz val="12"/>
        <color rgb="FFFFFFFF"/>
        <rFont val="Noto Sans CJK SC"/>
        <family val="2"/>
      </rPr>
      <t xml:space="preserve">四、储蓄目标 </t>
    </r>
    <r>
      <rPr>
        <b val="true"/>
        <sz val="12"/>
        <color rgb="FFFFFFFF"/>
        <rFont val="Arial"/>
        <family val="0"/>
        <charset val="1"/>
      </rPr>
      <t xml:space="preserve">Savings Goals</t>
    </r>
  </si>
  <si>
    <t xml:space="preserve">应急基金</t>
  </si>
  <si>
    <r>
      <rPr>
        <i val="true"/>
        <sz val="10"/>
        <rFont val="Noto Sans CJK SC"/>
        <family val="2"/>
      </rPr>
      <t xml:space="preserve">示例数据：建议</t>
    </r>
    <r>
      <rPr>
        <i val="true"/>
        <sz val="10"/>
        <rFont val="Arial"/>
        <family val="0"/>
        <charset val="1"/>
      </rPr>
      <t xml:space="preserve">3-6</t>
    </r>
    <r>
      <rPr>
        <i val="true"/>
        <sz val="10"/>
        <rFont val="Noto Sans CJK SC"/>
        <family val="2"/>
      </rPr>
      <t xml:space="preserve">个月生活费</t>
    </r>
  </si>
  <si>
    <r>
      <rPr>
        <sz val="11"/>
        <rFont val="Noto Sans CJK SC"/>
        <family val="2"/>
      </rPr>
      <t xml:space="preserve">长期储蓄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投资</t>
    </r>
  </si>
  <si>
    <r>
      <rPr>
        <i val="true"/>
        <sz val="10"/>
        <rFont val="Noto Sans CJK SC"/>
        <family val="2"/>
      </rPr>
      <t xml:space="preserve">示例数据：基金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定投</t>
    </r>
  </si>
  <si>
    <t xml:space="preserve">旅行基金</t>
  </si>
  <si>
    <t xml:space="preserve">大额购置储备</t>
  </si>
  <si>
    <r>
      <rPr>
        <i val="true"/>
        <sz val="10"/>
        <rFont val="Noto Sans CJK SC"/>
        <family val="2"/>
      </rPr>
      <t xml:space="preserve">示例数据：电子产品</t>
    </r>
    <r>
      <rPr>
        <i val="true"/>
        <sz val="10"/>
        <rFont val="Arial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家电</t>
    </r>
  </si>
  <si>
    <t xml:space="preserve">其他储蓄目标</t>
  </si>
  <si>
    <r>
      <rPr>
        <b val="true"/>
        <sz val="11"/>
        <color rgb="FF000000"/>
        <rFont val="Noto Sans CJK SC"/>
        <family val="2"/>
      </rPr>
      <t xml:space="preserve">储蓄目标合计 </t>
    </r>
    <r>
      <rPr>
        <b val="true"/>
        <sz val="11"/>
        <color rgb="FF000000"/>
        <rFont val="Arial"/>
        <family val="0"/>
        <charset val="1"/>
      </rPr>
      <t xml:space="preserve">Total Savings</t>
    </r>
  </si>
  <si>
    <r>
      <rPr>
        <b val="true"/>
        <sz val="12"/>
        <color rgb="FFFFFFFF"/>
        <rFont val="Noto Sans CJK SC"/>
        <family val="2"/>
      </rPr>
      <t xml:space="preserve">五、分类汇总与月度结余 </t>
    </r>
    <r>
      <rPr>
        <b val="true"/>
        <sz val="12"/>
        <color rgb="FFFFFFFF"/>
        <rFont val="Arial"/>
        <family val="0"/>
        <charset val="1"/>
      </rPr>
      <t xml:space="preserve">Summary &amp; Balance</t>
    </r>
  </si>
  <si>
    <t xml:space="preserve">汇总项目</t>
  </si>
  <si>
    <t xml:space="preserve">占收入比</t>
  </si>
  <si>
    <t xml:space="preserve">总收入</t>
  </si>
  <si>
    <t xml:space="preserve">100.0%</t>
  </si>
  <si>
    <t xml:space="preserve">固定支出</t>
  </si>
  <si>
    <t xml:space="preserve">日常消费</t>
  </si>
  <si>
    <t xml:space="preserve">储蓄目标</t>
  </si>
  <si>
    <r>
      <rPr>
        <b val="true"/>
        <sz val="11"/>
        <color rgb="FF000000"/>
        <rFont val="Noto Sans CJK SC"/>
        <family val="2"/>
      </rPr>
      <t xml:space="preserve">总支出（固定</t>
    </r>
    <r>
      <rPr>
        <b val="true"/>
        <sz val="11"/>
        <color rgb="FF000000"/>
        <rFont val="Arial"/>
        <family val="0"/>
        <charset val="1"/>
      </rPr>
      <t xml:space="preserve">+</t>
    </r>
    <r>
      <rPr>
        <b val="true"/>
        <sz val="11"/>
        <color rgb="FF000000"/>
        <rFont val="Noto Sans CJK SC"/>
        <family val="2"/>
      </rPr>
      <t xml:space="preserve">日常）</t>
    </r>
  </si>
  <si>
    <r>
      <rPr>
        <b val="true"/>
        <sz val="12"/>
        <rFont val="Noto Sans CJK SC"/>
        <family val="2"/>
      </rPr>
      <t xml:space="preserve">月度结余（收入</t>
    </r>
    <r>
      <rPr>
        <b val="true"/>
        <sz val="12"/>
        <rFont val="Arial"/>
        <family val="0"/>
        <charset val="1"/>
      </rPr>
      <t xml:space="preserve">-</t>
    </r>
    <r>
      <rPr>
        <b val="true"/>
        <sz val="12"/>
        <rFont val="Noto Sans CJK SC"/>
        <family val="2"/>
      </rPr>
      <t xml:space="preserve">支出</t>
    </r>
    <r>
      <rPr>
        <b val="true"/>
        <sz val="12"/>
        <rFont val="Arial"/>
        <family val="0"/>
        <charset val="1"/>
      </rPr>
      <t xml:space="preserve">-</t>
    </r>
    <r>
      <rPr>
        <b val="true"/>
        <sz val="12"/>
        <rFont val="Noto Sans CJK SC"/>
        <family val="2"/>
      </rPr>
      <t xml:space="preserve">储蓄）</t>
    </r>
  </si>
  <si>
    <r>
      <rPr>
        <b val="true"/>
        <sz val="12"/>
        <color rgb="FFFFFFFF"/>
        <rFont val="Noto Sans CJK SC"/>
        <family val="2"/>
      </rPr>
      <t xml:space="preserve">图例 </t>
    </r>
    <r>
      <rPr>
        <b val="true"/>
        <sz val="12"/>
        <color rgb="FFFFFFFF"/>
        <rFont val="Arial"/>
        <family val="0"/>
        <charset val="1"/>
      </rPr>
      <t xml:space="preserve">Legend</t>
    </r>
  </si>
  <si>
    <t xml:space="preserve">■</t>
  </si>
  <si>
    <r>
      <rPr>
        <i val="true"/>
        <sz val="10"/>
        <rFont val="Noto Sans CJK SC"/>
        <family val="2"/>
      </rPr>
      <t xml:space="preserve">黄色填充 </t>
    </r>
    <r>
      <rPr>
        <i val="true"/>
        <sz val="10"/>
        <rFont val="Arial"/>
        <family val="0"/>
        <charset val="1"/>
      </rPr>
      <t xml:space="preserve">+ </t>
    </r>
    <r>
      <rPr>
        <i val="true"/>
        <sz val="10"/>
        <rFont val="Noto Sans CJK SC"/>
        <family val="2"/>
      </rPr>
      <t xml:space="preserve">蓝色文字 — 用户可编辑的输入单元格（请在此处填写您的数据）</t>
    </r>
  </si>
  <si>
    <r>
      <rPr>
        <i val="true"/>
        <sz val="10"/>
        <rFont val="Noto Sans CJK SC"/>
        <family val="2"/>
      </rPr>
      <t xml:space="preserve">白色填充 </t>
    </r>
    <r>
      <rPr>
        <i val="true"/>
        <sz val="10"/>
        <rFont val="Arial"/>
        <family val="0"/>
        <charset val="1"/>
      </rPr>
      <t xml:space="preserve">+ </t>
    </r>
    <r>
      <rPr>
        <i val="true"/>
        <sz val="10"/>
        <rFont val="Noto Sans CJK SC"/>
        <family val="2"/>
      </rPr>
      <t xml:space="preserve">黑色文字 — 公式自动计算（请勿手动修改）</t>
    </r>
  </si>
  <si>
    <r>
      <rPr>
        <i val="true"/>
        <sz val="10"/>
        <rFont val="Noto Sans CJK SC"/>
        <family val="2"/>
      </rPr>
      <t xml:space="preserve">浅蓝色填充 — 分类小计 </t>
    </r>
    <r>
      <rPr>
        <i val="true"/>
        <sz val="10"/>
        <rFont val="Arial"/>
        <family val="0"/>
        <charset val="1"/>
      </rPr>
      <t xml:space="preserve">/ </t>
    </r>
    <r>
      <rPr>
        <i val="true"/>
        <sz val="10"/>
        <rFont val="Noto Sans CJK SC"/>
        <family val="2"/>
      </rPr>
      <t xml:space="preserve">合计行</t>
    </r>
  </si>
  <si>
    <r>
      <rPr>
        <i val="true"/>
        <sz val="10"/>
        <rFont val="Noto Sans CJK SC"/>
        <family val="2"/>
      </rPr>
      <t xml:space="preserve">浅绿色填充 — 汇总 </t>
    </r>
    <r>
      <rPr>
        <i val="true"/>
        <sz val="10"/>
        <rFont val="Arial"/>
        <family val="0"/>
        <charset val="1"/>
      </rPr>
      <t xml:space="preserve">/ </t>
    </r>
    <r>
      <rPr>
        <i val="true"/>
        <sz val="10"/>
        <rFont val="Noto Sans CJK SC"/>
        <family val="2"/>
      </rPr>
      <t xml:space="preserve">结余行</t>
    </r>
  </si>
  <si>
    <t xml:space="preserve">使用说明：黄色单元格为输入区域，请填入您的实际预算数字。其余单元格为公式自动计算，无需手动修改。</t>
  </si>
  <si>
    <t xml:space="preserve">示例数据已填入黄色单元格，仅供参考格式，请替换为您的真实数据。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</si>
</sst>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i val="true"/>
      <sz val="10"/>
      <color rgb="FF666666"/>
      <name val="Arial"/>
      <family val="0"/>
      <charset val="1"/>
    </font>
    <font>
      <b val="true"/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66"/>
      </patternFill>
    </fill>
    <fill>
      <patternFill patternType="solid">
        <fgColor rgb="FFD6DCE4"/>
        <bgColor rgb="FFD9E2F3"/>
      </patternFill>
    </fill>
    <fill>
      <patternFill patternType="solid">
        <fgColor rgb="FFD9E2F3"/>
        <bgColor rgb="FFD6DCE4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D6DCE4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3" min="2" style="0" width="18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21.75" hidden="false" customHeight="true" outlineLevel="0" collapsed="false">
      <c r="A6" s="5" t="s">
        <v>4</v>
      </c>
      <c r="B6" s="5"/>
      <c r="C6" s="5"/>
      <c r="D6" s="5"/>
    </row>
    <row r="7" customFormat="false" ht="15" hidden="false" customHeight="false" outlineLevel="0" collapsed="false">
      <c r="A7" s="6" t="s">
        <v>5</v>
      </c>
      <c r="B7" s="6" t="s">
        <v>6</v>
      </c>
      <c r="C7" s="6" t="s">
        <v>7</v>
      </c>
      <c r="D7" s="6" t="s">
        <v>8</v>
      </c>
    </row>
    <row r="8" customFormat="false" ht="15" hidden="false" customHeight="false" outlineLevel="0" collapsed="false">
      <c r="A8" s="7" t="s">
        <v>9</v>
      </c>
      <c r="B8" s="8" t="n">
        <v>15000</v>
      </c>
      <c r="D8" s="9" t="s">
        <v>10</v>
      </c>
    </row>
    <row r="9" customFormat="false" ht="15" hidden="false" customHeight="false" outlineLevel="0" collapsed="false">
      <c r="A9" s="7" t="s">
        <v>11</v>
      </c>
      <c r="B9" s="8" t="n">
        <v>2000</v>
      </c>
      <c r="D9" s="9" t="s">
        <v>12</v>
      </c>
    </row>
    <row r="10" customFormat="false" ht="15" hidden="false" customHeight="false" outlineLevel="0" collapsed="false">
      <c r="A10" s="7" t="s">
        <v>13</v>
      </c>
      <c r="B10" s="8" t="n">
        <v>500</v>
      </c>
      <c r="D10" s="9" t="s">
        <v>14</v>
      </c>
    </row>
    <row r="11" customFormat="false" ht="15" hidden="false" customHeight="false" outlineLevel="0" collapsed="false">
      <c r="A11" s="7" t="s">
        <v>15</v>
      </c>
      <c r="B11" s="8" t="n">
        <v>0</v>
      </c>
    </row>
    <row r="12" customFormat="false" ht="15" hidden="false" customHeight="false" outlineLevel="0" collapsed="false">
      <c r="A12" s="10" t="s">
        <v>16</v>
      </c>
      <c r="B12" s="11" t="n">
        <f aca="false">SUM(B8:B11)</f>
        <v>17500</v>
      </c>
      <c r="C12" s="12"/>
      <c r="D12" s="12"/>
    </row>
    <row r="14" customFormat="false" ht="21.75" hidden="false" customHeight="true" outlineLevel="0" collapsed="false">
      <c r="A14" s="5" t="s">
        <v>17</v>
      </c>
      <c r="B14" s="5"/>
      <c r="C14" s="5"/>
      <c r="D14" s="5"/>
    </row>
    <row r="15" customFormat="false" ht="15" hidden="false" customHeight="false" outlineLevel="0" collapsed="false">
      <c r="A15" s="6" t="s">
        <v>5</v>
      </c>
      <c r="B15" s="6" t="s">
        <v>6</v>
      </c>
      <c r="C15" s="6" t="s">
        <v>7</v>
      </c>
      <c r="D15" s="6" t="s">
        <v>8</v>
      </c>
    </row>
    <row r="16" customFormat="false" ht="15" hidden="false" customHeight="false" outlineLevel="0" collapsed="false">
      <c r="A16" s="7" t="s">
        <v>18</v>
      </c>
      <c r="B16" s="8" t="n">
        <v>4500</v>
      </c>
      <c r="D16" s="9" t="s">
        <v>19</v>
      </c>
    </row>
    <row r="17" customFormat="false" ht="15" hidden="false" customHeight="false" outlineLevel="0" collapsed="false">
      <c r="A17" s="7" t="s">
        <v>20</v>
      </c>
      <c r="B17" s="8" t="n">
        <v>300</v>
      </c>
      <c r="D17" s="9" t="s">
        <v>19</v>
      </c>
    </row>
    <row r="18" customFormat="false" ht="15" hidden="false" customHeight="false" outlineLevel="0" collapsed="false">
      <c r="A18" s="7" t="s">
        <v>21</v>
      </c>
      <c r="B18" s="8" t="n">
        <v>200</v>
      </c>
      <c r="D18" s="9" t="s">
        <v>19</v>
      </c>
    </row>
    <row r="19" customFormat="false" ht="15" hidden="false" customHeight="false" outlineLevel="0" collapsed="false">
      <c r="A19" s="7" t="s">
        <v>22</v>
      </c>
      <c r="B19" s="8" t="n">
        <v>150</v>
      </c>
      <c r="D19" s="9" t="s">
        <v>19</v>
      </c>
    </row>
    <row r="20" customFormat="false" ht="15" hidden="false" customHeight="false" outlineLevel="0" collapsed="false">
      <c r="A20" s="7" t="s">
        <v>23</v>
      </c>
      <c r="B20" s="8" t="n">
        <v>800</v>
      </c>
      <c r="D20" s="9" t="s">
        <v>24</v>
      </c>
    </row>
    <row r="21" customFormat="false" ht="15" hidden="false" customHeight="false" outlineLevel="0" collapsed="false">
      <c r="A21" s="7" t="s">
        <v>25</v>
      </c>
      <c r="B21" s="8" t="n">
        <v>0</v>
      </c>
    </row>
    <row r="22" customFormat="false" ht="15" hidden="false" customHeight="false" outlineLevel="0" collapsed="false">
      <c r="A22" s="7" t="s">
        <v>26</v>
      </c>
      <c r="B22" s="8" t="n">
        <v>100</v>
      </c>
      <c r="D22" s="9" t="s">
        <v>27</v>
      </c>
    </row>
    <row r="23" customFormat="false" ht="15" hidden="false" customHeight="false" outlineLevel="0" collapsed="false">
      <c r="A23" s="10" t="s">
        <v>28</v>
      </c>
      <c r="B23" s="11" t="n">
        <f aca="false">SUM(B16:B22)</f>
        <v>6050</v>
      </c>
      <c r="C23" s="12"/>
      <c r="D23" s="12"/>
    </row>
    <row r="25" customFormat="false" ht="21.75" hidden="false" customHeight="true" outlineLevel="0" collapsed="false">
      <c r="A25" s="5" t="s">
        <v>29</v>
      </c>
      <c r="B25" s="5"/>
      <c r="C25" s="5"/>
      <c r="D25" s="5"/>
    </row>
    <row r="26" customFormat="false" ht="15" hidden="false" customHeight="false" outlineLevel="0" collapsed="false">
      <c r="A26" s="6" t="s">
        <v>5</v>
      </c>
      <c r="B26" s="6" t="s">
        <v>6</v>
      </c>
      <c r="C26" s="6" t="s">
        <v>7</v>
      </c>
      <c r="D26" s="6" t="s">
        <v>8</v>
      </c>
    </row>
    <row r="27" customFormat="false" ht="15" hidden="false" customHeight="false" outlineLevel="0" collapsed="false">
      <c r="A27" s="7" t="s">
        <v>30</v>
      </c>
      <c r="B27" s="8" t="n">
        <v>2000</v>
      </c>
      <c r="D27" s="9" t="s">
        <v>19</v>
      </c>
    </row>
    <row r="28" customFormat="false" ht="15" hidden="false" customHeight="false" outlineLevel="0" collapsed="false">
      <c r="A28" s="7" t="s">
        <v>31</v>
      </c>
      <c r="B28" s="8" t="n">
        <v>500</v>
      </c>
      <c r="D28" s="9" t="s">
        <v>32</v>
      </c>
    </row>
    <row r="29" customFormat="false" ht="15" hidden="false" customHeight="false" outlineLevel="0" collapsed="false">
      <c r="A29" s="7" t="s">
        <v>33</v>
      </c>
      <c r="B29" s="8" t="n">
        <v>800</v>
      </c>
      <c r="D29" s="9" t="s">
        <v>19</v>
      </c>
    </row>
    <row r="30" customFormat="false" ht="15" hidden="false" customHeight="false" outlineLevel="0" collapsed="false">
      <c r="A30" s="7" t="s">
        <v>34</v>
      </c>
      <c r="B30" s="8" t="n">
        <v>600</v>
      </c>
      <c r="D30" s="9" t="s">
        <v>19</v>
      </c>
    </row>
    <row r="31" customFormat="false" ht="15" hidden="false" customHeight="false" outlineLevel="0" collapsed="false">
      <c r="A31" s="7" t="s">
        <v>35</v>
      </c>
      <c r="B31" s="8" t="n">
        <v>500</v>
      </c>
      <c r="D31" s="9" t="s">
        <v>36</v>
      </c>
    </row>
    <row r="32" customFormat="false" ht="15" hidden="false" customHeight="false" outlineLevel="0" collapsed="false">
      <c r="A32" s="7" t="s">
        <v>37</v>
      </c>
      <c r="B32" s="8" t="n">
        <v>200</v>
      </c>
      <c r="D32" s="9" t="s">
        <v>19</v>
      </c>
    </row>
    <row r="33" customFormat="false" ht="15" hidden="false" customHeight="false" outlineLevel="0" collapsed="false">
      <c r="A33" s="7" t="s">
        <v>38</v>
      </c>
      <c r="B33" s="8" t="n">
        <v>300</v>
      </c>
      <c r="D33" s="9" t="s">
        <v>39</v>
      </c>
    </row>
    <row r="34" customFormat="false" ht="15" hidden="false" customHeight="false" outlineLevel="0" collapsed="false">
      <c r="A34" s="7" t="s">
        <v>40</v>
      </c>
      <c r="B34" s="8" t="n">
        <v>200</v>
      </c>
    </row>
    <row r="35" customFormat="false" ht="15" hidden="false" customHeight="false" outlineLevel="0" collapsed="false">
      <c r="A35" s="10" t="s">
        <v>41</v>
      </c>
      <c r="B35" s="11" t="n">
        <f aca="false">SUM(B27:B34)</f>
        <v>5100</v>
      </c>
      <c r="C35" s="12"/>
      <c r="D35" s="12"/>
    </row>
    <row r="37" customFormat="false" ht="21.75" hidden="false" customHeight="true" outlineLevel="0" collapsed="false">
      <c r="A37" s="5" t="s">
        <v>42</v>
      </c>
      <c r="B37" s="5"/>
      <c r="C37" s="5"/>
      <c r="D37" s="5"/>
    </row>
    <row r="38" customFormat="false" ht="15" hidden="false" customHeight="false" outlineLevel="0" collapsed="false">
      <c r="A38" s="6" t="s">
        <v>5</v>
      </c>
      <c r="B38" s="6" t="s">
        <v>6</v>
      </c>
      <c r="C38" s="6" t="s">
        <v>7</v>
      </c>
      <c r="D38" s="6" t="s">
        <v>8</v>
      </c>
    </row>
    <row r="39" customFormat="false" ht="15" hidden="false" customHeight="false" outlineLevel="0" collapsed="false">
      <c r="A39" s="7" t="s">
        <v>43</v>
      </c>
      <c r="B39" s="8" t="n">
        <v>1000</v>
      </c>
      <c r="D39" s="9" t="s">
        <v>44</v>
      </c>
    </row>
    <row r="40" customFormat="false" ht="15" hidden="false" customHeight="false" outlineLevel="0" collapsed="false">
      <c r="A40" s="7" t="s">
        <v>45</v>
      </c>
      <c r="B40" s="8" t="n">
        <v>2000</v>
      </c>
      <c r="D40" s="9" t="s">
        <v>46</v>
      </c>
    </row>
    <row r="41" customFormat="false" ht="15" hidden="false" customHeight="false" outlineLevel="0" collapsed="false">
      <c r="A41" s="7" t="s">
        <v>47</v>
      </c>
      <c r="B41" s="8" t="n">
        <v>500</v>
      </c>
      <c r="D41" s="9" t="s">
        <v>19</v>
      </c>
    </row>
    <row r="42" customFormat="false" ht="15" hidden="false" customHeight="false" outlineLevel="0" collapsed="false">
      <c r="A42" s="7" t="s">
        <v>48</v>
      </c>
      <c r="B42" s="8" t="n">
        <v>500</v>
      </c>
      <c r="D42" s="9" t="s">
        <v>49</v>
      </c>
    </row>
    <row r="43" customFormat="false" ht="15" hidden="false" customHeight="false" outlineLevel="0" collapsed="false">
      <c r="A43" s="7" t="s">
        <v>50</v>
      </c>
      <c r="B43" s="8" t="n">
        <v>0</v>
      </c>
    </row>
    <row r="44" customFormat="false" ht="15" hidden="false" customHeight="false" outlineLevel="0" collapsed="false">
      <c r="A44" s="10" t="s">
        <v>51</v>
      </c>
      <c r="B44" s="11" t="n">
        <f aca="false">SUM(B39:B43)</f>
        <v>4000</v>
      </c>
      <c r="C44" s="12"/>
      <c r="D44" s="12"/>
    </row>
    <row r="46" customFormat="false" ht="21.75" hidden="false" customHeight="true" outlineLevel="0" collapsed="false">
      <c r="A46" s="5" t="s">
        <v>52</v>
      </c>
      <c r="B46" s="5"/>
      <c r="C46" s="5"/>
      <c r="D46" s="5"/>
    </row>
    <row r="47" customFormat="false" ht="15" hidden="false" customHeight="false" outlineLevel="0" collapsed="false">
      <c r="A47" s="6" t="s">
        <v>53</v>
      </c>
      <c r="B47" s="6" t="s">
        <v>6</v>
      </c>
      <c r="C47" s="6" t="s">
        <v>7</v>
      </c>
      <c r="D47" s="6" t="s">
        <v>54</v>
      </c>
    </row>
    <row r="48" customFormat="false" ht="15" hidden="false" customHeight="false" outlineLevel="0" collapsed="false">
      <c r="A48" s="13" t="s">
        <v>55</v>
      </c>
      <c r="B48" s="14" t="n">
        <f aca="false">B12</f>
        <v>17500</v>
      </c>
      <c r="D48" s="15" t="s">
        <v>56</v>
      </c>
    </row>
    <row r="49" customFormat="false" ht="15" hidden="false" customHeight="false" outlineLevel="0" collapsed="false">
      <c r="A49" s="13" t="s">
        <v>57</v>
      </c>
      <c r="B49" s="14" t="n">
        <f aca="false">B23</f>
        <v>6050</v>
      </c>
      <c r="D49" s="16" t="n">
        <f aca="false">IFERROR(B49/B48,0)</f>
        <v>0.345714285714286</v>
      </c>
    </row>
    <row r="50" customFormat="false" ht="15" hidden="false" customHeight="false" outlineLevel="0" collapsed="false">
      <c r="A50" s="13" t="s">
        <v>58</v>
      </c>
      <c r="B50" s="14" t="n">
        <f aca="false">B35</f>
        <v>5100</v>
      </c>
      <c r="D50" s="16" t="n">
        <f aca="false">IFERROR(B50/B48,0)</f>
        <v>0.291428571428571</v>
      </c>
    </row>
    <row r="51" customFormat="false" ht="15" hidden="false" customHeight="false" outlineLevel="0" collapsed="false">
      <c r="A51" s="13" t="s">
        <v>59</v>
      </c>
      <c r="B51" s="14" t="n">
        <f aca="false">B44</f>
        <v>4000</v>
      </c>
      <c r="D51" s="16" t="n">
        <f aca="false">IFERROR(B51/B48,0)</f>
        <v>0.228571428571429</v>
      </c>
    </row>
    <row r="52" customFormat="false" ht="15" hidden="false" customHeight="false" outlineLevel="0" collapsed="false">
      <c r="A52" s="10" t="s">
        <v>60</v>
      </c>
      <c r="B52" s="11" t="n">
        <f aca="false">B23+B35</f>
        <v>11150</v>
      </c>
      <c r="D52" s="17" t="n">
        <f aca="false">IFERROR(B52/B48,0)</f>
        <v>0.637142857142857</v>
      </c>
    </row>
    <row r="53" customFormat="false" ht="15" hidden="false" customHeight="false" outlineLevel="0" collapsed="false">
      <c r="A53" s="18" t="s">
        <v>61</v>
      </c>
      <c r="B53" s="19" t="n">
        <f aca="false">B12-B52-B44</f>
        <v>2350</v>
      </c>
      <c r="D53" s="20" t="n">
        <f aca="false">IFERROR(B53/B48,0)</f>
        <v>0.134285714285714</v>
      </c>
    </row>
    <row r="55" customFormat="false" ht="21.75" hidden="false" customHeight="true" outlineLevel="0" collapsed="false">
      <c r="A55" s="5" t="s">
        <v>62</v>
      </c>
      <c r="B55" s="5"/>
      <c r="C55" s="5"/>
      <c r="D55" s="5"/>
    </row>
    <row r="56" customFormat="false" ht="15" hidden="false" customHeight="false" outlineLevel="0" collapsed="false">
      <c r="A56" s="4" t="s">
        <v>63</v>
      </c>
      <c r="B56" s="21" t="s">
        <v>64</v>
      </c>
      <c r="C56" s="21"/>
      <c r="D56" s="21"/>
    </row>
    <row r="57" customFormat="false" ht="15" hidden="false" customHeight="false" outlineLevel="0" collapsed="false">
      <c r="A57" s="22" t="s">
        <v>63</v>
      </c>
      <c r="B57" s="21" t="s">
        <v>65</v>
      </c>
      <c r="C57" s="21"/>
      <c r="D57" s="21"/>
    </row>
    <row r="58" customFormat="false" ht="15" hidden="false" customHeight="false" outlineLevel="0" collapsed="false">
      <c r="A58" s="23" t="s">
        <v>63</v>
      </c>
      <c r="B58" s="21" t="s">
        <v>66</v>
      </c>
      <c r="C58" s="21"/>
      <c r="D58" s="21"/>
    </row>
    <row r="59" customFormat="false" ht="15" hidden="false" customHeight="false" outlineLevel="0" collapsed="false">
      <c r="A59" s="24" t="s">
        <v>63</v>
      </c>
      <c r="B59" s="21" t="s">
        <v>67</v>
      </c>
      <c r="C59" s="21"/>
      <c r="D59" s="21"/>
    </row>
    <row r="61" customFormat="false" ht="15" hidden="false" customHeight="false" outlineLevel="0" collapsed="false">
      <c r="A61" s="25" t="s">
        <v>68</v>
      </c>
      <c r="B61" s="25"/>
      <c r="C61" s="25"/>
      <c r="D61" s="25"/>
    </row>
    <row r="62" customFormat="false" ht="15" hidden="false" customHeight="false" outlineLevel="0" collapsed="false">
      <c r="A62" s="25" t="s">
        <v>69</v>
      </c>
      <c r="B62" s="25"/>
      <c r="C62" s="25"/>
      <c r="D62" s="25"/>
    </row>
  </sheetData>
  <mergeCells count="14">
    <mergeCell ref="A1:D1"/>
    <mergeCell ref="A2:D2"/>
    <mergeCell ref="A6:D6"/>
    <mergeCell ref="A14:D14"/>
    <mergeCell ref="A25:D25"/>
    <mergeCell ref="A37:D37"/>
    <mergeCell ref="A46:D46"/>
    <mergeCell ref="A55:D55"/>
    <mergeCell ref="B56:D56"/>
    <mergeCell ref="B57:D57"/>
    <mergeCell ref="B58:D58"/>
    <mergeCell ref="B59:D59"/>
    <mergeCell ref="A61:D61"/>
    <mergeCell ref="A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2026-08-07T03:45:17Z</dcterms:created>
  <dc:creator>openpyxl</dc:creator>
  <dc:description/>
  <dc:language>en-US</dc:language>
  <cp:lastModifiedBy/>
  <dcterms:modified xsi:type="dcterms:W3CDTF">2026-08-07T03:45:17Z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